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er" sheetId="1" r:id="rId5"/>
    <sheet state="visible" name="Project Overview" sheetId="2" r:id="rId6"/>
  </sheets>
  <definedNames>
    <definedName hidden="1" localSheetId="0" name="_xlnm._FilterDatabase">'Project Tracker'!$A$1:$K$5</definedName>
  </definedNames>
  <calcPr/>
</workbook>
</file>

<file path=xl/sharedStrings.xml><?xml version="1.0" encoding="utf-8"?>
<sst xmlns="http://schemas.openxmlformats.org/spreadsheetml/2006/main" count="47" uniqueCount="41">
  <si>
    <t>Objective</t>
  </si>
  <si>
    <t>Initiative</t>
  </si>
  <si>
    <t>Start Date</t>
  </si>
  <si>
    <t>End Date</t>
  </si>
  <si>
    <t>Department</t>
  </si>
  <si>
    <t>Manager</t>
  </si>
  <si>
    <t>Status</t>
  </si>
  <si>
    <t>Progress(%)</t>
  </si>
  <si>
    <t>Visual</t>
  </si>
  <si>
    <t>Comments</t>
  </si>
  <si>
    <t>Dependencies</t>
  </si>
  <si>
    <t>Enhnance Customer Experience: Reduce customer support response time by 20%</t>
  </si>
  <si>
    <t>Implement customer feedback portal: Launch by Q2 2026</t>
  </si>
  <si>
    <t>Customer Support</t>
  </si>
  <si>
    <t>Jane Doe</t>
  </si>
  <si>
    <t>Planning</t>
  </si>
  <si>
    <t>Kick off meeting set for next week, awaiting vendor contract approval</t>
  </si>
  <si>
    <t>IT infrastructure setup</t>
  </si>
  <si>
    <t>Streamline Internal Processes</t>
  </si>
  <si>
    <t>Reduce manuel effort in sales order creation</t>
  </si>
  <si>
    <t>1/16/2025</t>
  </si>
  <si>
    <t>7/31/2025</t>
  </si>
  <si>
    <t>Sales</t>
  </si>
  <si>
    <t>Bruce Banner</t>
  </si>
  <si>
    <t>In Progress</t>
  </si>
  <si>
    <t>IT installing automation componenet</t>
  </si>
  <si>
    <t>SAP note installation</t>
  </si>
  <si>
    <t>Deveolp New Product Line</t>
  </si>
  <si>
    <t>Expand into automative industry</t>
  </si>
  <si>
    <t>Completed</t>
  </si>
  <si>
    <t>New product launched ahead of schedule</t>
  </si>
  <si>
    <t>N/A</t>
  </si>
  <si>
    <t>Enhance Employeee Training</t>
  </si>
  <si>
    <t>Develop eLearnings and Instructor-led trainings</t>
  </si>
  <si>
    <t>Operations</t>
  </si>
  <si>
    <t>Barry Alan</t>
  </si>
  <si>
    <t>Contracting issues need to be resolved before continuing</t>
  </si>
  <si>
    <t>Contract negotiation</t>
  </si>
  <si>
    <t>Total Number of Projects</t>
  </si>
  <si>
    <t>Not Started</t>
  </si>
  <si>
    <t>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</si>
</sst>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7" max="7" width="16.63"/>
    <col customWidth="1" min="9" max="9" width="16.25"/>
    <col customWidth="1" min="10" max="10" width="35.0"/>
    <col customWidth="1" min="11" max="11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45661.0</v>
      </c>
      <c r="D2" s="4">
        <v>46026.0</v>
      </c>
      <c r="E2" s="2" t="s">
        <v>13</v>
      </c>
      <c r="F2" s="2" t="s">
        <v>14</v>
      </c>
      <c r="G2" s="2" t="s">
        <v>15</v>
      </c>
      <c r="H2" s="2">
        <v>10.0</v>
      </c>
      <c r="I2" s="5" t="str">
        <f>IFERROR(__xludf.DUMMYFUNCTION("IFNA(SPARKLINE(H2, {""charttype"",""bar""; ""max"",100; ""color1"",""blue""}),"""")"),"")</f>
        <v/>
      </c>
      <c r="J2" s="2" t="s">
        <v>16</v>
      </c>
      <c r="K2" s="2" t="s">
        <v>17</v>
      </c>
    </row>
    <row r="3">
      <c r="A3" s="2" t="s">
        <v>18</v>
      </c>
      <c r="B3" s="2" t="s">
        <v>19</v>
      </c>
      <c r="C3" s="6" t="s">
        <v>20</v>
      </c>
      <c r="D3" s="6" t="s">
        <v>21</v>
      </c>
      <c r="E3" s="2" t="s">
        <v>22</v>
      </c>
      <c r="F3" s="2" t="s">
        <v>23</v>
      </c>
      <c r="G3" s="2" t="s">
        <v>24</v>
      </c>
      <c r="H3" s="2">
        <v>50.0</v>
      </c>
      <c r="I3" s="5" t="str">
        <f>IFERROR(__xludf.DUMMYFUNCTION("IFNA(SPARKLINE(H3, {""charttype"",""bar""; ""max"",100; ""color1"",""blue""}),"""")"),"")</f>
        <v/>
      </c>
      <c r="J3" s="2" t="s">
        <v>25</v>
      </c>
      <c r="K3" s="2" t="s">
        <v>26</v>
      </c>
    </row>
    <row r="4">
      <c r="A4" s="2" t="s">
        <v>27</v>
      </c>
      <c r="B4" s="2" t="s">
        <v>28</v>
      </c>
      <c r="C4" s="4">
        <v>45292.0</v>
      </c>
      <c r="D4" s="3">
        <v>45662.0</v>
      </c>
      <c r="E4" s="2" t="s">
        <v>22</v>
      </c>
      <c r="F4" s="2" t="s">
        <v>23</v>
      </c>
      <c r="G4" s="2" t="s">
        <v>29</v>
      </c>
      <c r="H4" s="2">
        <v>100.0</v>
      </c>
      <c r="I4" s="5" t="str">
        <f>IFERROR(__xludf.DUMMYFUNCTION("IFNA(SPARKLINE(H4, {""charttype"",""bar""; ""max"",100; ""color1"",""blue""}),"""")"),"")</f>
        <v/>
      </c>
      <c r="J4" s="2" t="s">
        <v>30</v>
      </c>
      <c r="K4" s="2" t="s">
        <v>31</v>
      </c>
    </row>
    <row r="5">
      <c r="A5" s="2" t="s">
        <v>32</v>
      </c>
      <c r="B5" s="2" t="s">
        <v>33</v>
      </c>
      <c r="C5" s="4">
        <v>45779.0</v>
      </c>
      <c r="D5" s="4">
        <v>45667.0</v>
      </c>
      <c r="E5" s="2" t="s">
        <v>34</v>
      </c>
      <c r="F5" s="2" t="s">
        <v>35</v>
      </c>
      <c r="G5" s="2" t="s">
        <v>15</v>
      </c>
      <c r="H5" s="2">
        <v>15.0</v>
      </c>
      <c r="I5" s="5" t="str">
        <f>IFERROR(__xludf.DUMMYFUNCTION("IFNA(SPARKLINE(H5, {""charttype"",""bar""; ""max"",100; ""color1"",""blue""}),"""")"),"")</f>
        <v/>
      </c>
      <c r="J5" s="2" t="s">
        <v>36</v>
      </c>
      <c r="K5" s="2" t="s">
        <v>37</v>
      </c>
    </row>
    <row r="6">
      <c r="I6" s="5" t="str">
        <f>IFERROR(__xludf.DUMMYFUNCTION("IFNA(SPARKLINE(H6, {""charttype"",""bar""; ""max"",100; ""color1"",""blue""}),"""")"),"")</f>
        <v/>
      </c>
    </row>
    <row r="7">
      <c r="I7" s="5" t="str">
        <f>IFERROR(__xludf.DUMMYFUNCTION("IFNA(SPARKLINE(H7, {""charttype"",""bar""; ""max"",100; ""color1"",""blue""}),"""")"),"")</f>
        <v/>
      </c>
    </row>
    <row r="8">
      <c r="I8" s="5" t="str">
        <f>IFERROR(__xludf.DUMMYFUNCTION("IFNA(SPARKLINE(H8, {""charttype"",""bar""; ""max"",100; ""color1"",""blue""}),"""")"),"")</f>
        <v/>
      </c>
    </row>
    <row r="9">
      <c r="I9" s="5" t="str">
        <f>IFERROR(__xludf.DUMMYFUNCTION("IFNA(SPARKLINE(H9, {""charttype"",""bar""; ""max"",100; ""color1"",""blue""}),"""")"),"")</f>
        <v/>
      </c>
    </row>
    <row r="10">
      <c r="I10" s="5" t="str">
        <f>IFERROR(__xludf.DUMMYFUNCTION("IFNA(SPARKLINE(H10, {""charttype"",""bar""; ""max"",100; ""color1"",""blue""}),"""")"),"")</f>
        <v/>
      </c>
    </row>
    <row r="11">
      <c r="I11" s="5" t="str">
        <f>IFERROR(__xludf.DUMMYFUNCTION("IFNA(SPARKLINE(H11, {""charttype"",""bar""; ""max"",100; ""color1"",""blue""}),"""")"),"")</f>
        <v/>
      </c>
    </row>
    <row r="12">
      <c r="I12" s="5" t="str">
        <f>IFERROR(__xludf.DUMMYFUNCTION("IFNA(SPARKLINE(H12, {""charttype"",""bar""; ""max"",100; ""color1"",""blue""}),"""")"),"")</f>
        <v/>
      </c>
    </row>
    <row r="13">
      <c r="I13" s="5" t="str">
        <f>IFERROR(__xludf.DUMMYFUNCTION("IFNA(SPARKLINE(H13, {""charttype"",""bar""; ""max"",100; ""color1"",""blue""}),"""")"),"")</f>
        <v/>
      </c>
    </row>
    <row r="14">
      <c r="I14" s="5" t="str">
        <f>IFERROR(__xludf.DUMMYFUNCTION("IFNA(SPARKLINE(H14, {""charttype"",""bar""; ""max"",100; ""color1"",""blue""}),"""")"),"")</f>
        <v/>
      </c>
    </row>
    <row r="15">
      <c r="I15" s="5" t="str">
        <f>IFERROR(__xludf.DUMMYFUNCTION("IFNA(SPARKLINE(H15, {""charttype"",""bar""; ""max"",100; ""color1"",""blue""}),"""")"),"")</f>
        <v/>
      </c>
    </row>
    <row r="16">
      <c r="I16" s="5" t="str">
        <f>IFERROR(__xludf.DUMMYFUNCTION("IFNA(SPARKLINE(H16, {""charttype"",""bar""; ""max"",100; ""color1"",""blue""}),"""")"),"")</f>
        <v/>
      </c>
    </row>
    <row r="17">
      <c r="I17" s="5" t="str">
        <f>IFERROR(__xludf.DUMMYFUNCTION("IFNA(SPARKLINE(H17, {""charttype"",""bar""; ""max"",100; ""color1"",""blue""}),"""")"),"")</f>
        <v/>
      </c>
    </row>
    <row r="18">
      <c r="I18" s="5" t="str">
        <f>IFERROR(__xludf.DUMMYFUNCTION("IFNA(SPARKLINE(H18, {""charttype"",""bar""; ""max"",100; ""color1"",""blue""}),"""")"),"")</f>
        <v/>
      </c>
    </row>
    <row r="19">
      <c r="I19" s="5" t="str">
        <f>IFERROR(__xludf.DUMMYFUNCTION("IFNA(SPARKLINE(H19, {""charttype"",""bar""; ""max"",100; ""color1"",""blue""}),"""")"),"")</f>
        <v/>
      </c>
    </row>
    <row r="20">
      <c r="I20" s="5" t="str">
        <f>IFERROR(__xludf.DUMMYFUNCTION("IFNA(SPARKLINE(H20, {""charttype"",""bar""; ""max"",100; ""color1"",""blue""}),"""")"),"")</f>
        <v/>
      </c>
    </row>
  </sheetData>
  <autoFilter ref="$A$1:$K$5"/>
  <dataValidations>
    <dataValidation type="list" allowBlank="1" showErrorMessage="1" sqref="G2:G5">
      <formula1>"Not Started,Planning,In Progress,Completed,Blocked"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2">
      <c r="B2" s="2" t="s">
        <v>38</v>
      </c>
      <c r="C2" s="5">
        <f>COUNTA('Project Tracker'!A:A) -1</f>
        <v>4</v>
      </c>
    </row>
    <row r="3">
      <c r="B3" s="2" t="s">
        <v>39</v>
      </c>
      <c r="C3" s="2">
        <f>COUNTIF('Project Tracker'!G:G,B3)</f>
        <v>0</v>
      </c>
    </row>
    <row r="4">
      <c r="B4" s="2" t="s">
        <v>15</v>
      </c>
      <c r="C4" s="2">
        <f>COUNTIF('Project Tracker'!G:G,B4)</f>
        <v>2</v>
      </c>
    </row>
    <row r="5">
      <c r="B5" s="2" t="s">
        <v>24</v>
      </c>
      <c r="C5" s="2">
        <f>COUNTIF('Project Tracker'!G:G,B5)</f>
        <v>1</v>
      </c>
    </row>
    <row r="6">
      <c r="B6" s="2" t="s">
        <v>29</v>
      </c>
      <c r="C6" s="2">
        <f>COUNTIF('Project Tracker'!G:G,B6)</f>
        <v>1</v>
      </c>
    </row>
    <row r="7">
      <c r="B7" s="2" t="s">
        <v>40</v>
      </c>
      <c r="C7" s="2">
        <f>COUNTIF('Project Tracker'!G:G,B7)</f>
        <v>0</v>
      </c>
    </row>
  </sheetData>
  <drawing r:id="rId1"/>
</worksheet>
</file>